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 per Comarques" sheetId="1" state="visible" r:id="rId1"/>
    <sheet xmlns:r="http://schemas.openxmlformats.org/officeDocument/2006/relationships" name="Registre per Map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1F4E79"/>
      <sz val="16"/>
    </font>
    <font>
      <name val="Calibri"/>
      <i val="1"/>
      <color rgb="FF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/>
  </fonts>
  <fills count="8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9FBFD"/>
        <bgColor rgb="FFF9FBFD"/>
      </patternFill>
    </fill>
    <fill>
      <patternFill patternType="solid">
        <fgColor rgb="FFF2F5F9"/>
        <bgColor rgb="FFF2F5F9"/>
      </patternFill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001F4E79"/>
        <bgColor rgb="001F4E79"/>
      </patternFill>
    </fill>
  </fills>
  <borders count="6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top style="thin">
        <color rgb="FF1F4E79"/>
      </top>
      <bottom style="double">
        <color rgb="FF1F4E79"/>
      </bottom>
    </border>
    <border/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0" fontId="3" fillId="6" borderId="2" applyAlignment="1" pivotButton="0" quotePrefix="0" xfId="0">
      <alignment horizontal="left" vertical="center"/>
    </xf>
    <xf numFmtId="3" fontId="3" fillId="6" borderId="2" applyAlignment="1" pivotButton="0" quotePrefix="0" xfId="0">
      <alignment horizontal="center" vertical="center"/>
    </xf>
    <xf numFmtId="3" fontId="3" fillId="6" borderId="2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vertical="center" wrapText="1"/>
    </xf>
    <xf numFmtId="0" fontId="3" fillId="6" borderId="0" applyAlignment="1" pivotButton="0" quotePrefix="0" xfId="0">
      <alignment horizontal="center" vertical="center"/>
    </xf>
    <xf numFmtId="0" fontId="0" fillId="6" borderId="2" pivotButton="0" quotePrefix="0" xfId="0"/>
    <xf numFmtId="0" fontId="0" fillId="6" borderId="2" applyAlignment="1" pivotButton="0" quotePrefix="0" xfId="0">
      <alignment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3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3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3" fontId="4" fillId="5" borderId="4" applyAlignment="1" pivotButton="0" quotePrefix="0" xfId="0">
      <alignment horizontal="right" vertical="center"/>
    </xf>
    <xf numFmtId="0" fontId="4" fillId="5" borderId="4" applyAlignment="1" pivotButton="0" quotePrefix="0" xfId="0">
      <alignment horizontal="left" vertical="center" wrapText="1"/>
    </xf>
    <xf numFmtId="0" fontId="6" fillId="0" borderId="3" pivotButton="0" quotePrefix="0" xfId="0"/>
    <xf numFmtId="0" fontId="4" fillId="4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3" fontId="4" fillId="4" borderId="4" applyAlignment="1" pivotButton="0" quotePrefix="0" xfId="0">
      <alignment horizontal="right" vertical="center"/>
    </xf>
    <xf numFmtId="0" fontId="4" fillId="4" borderId="4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left" vertical="center"/>
    </xf>
    <xf numFmtId="3" fontId="4" fillId="3" borderId="4" applyAlignment="1" pivotButton="0" quotePrefix="0" xfId="0">
      <alignment horizontal="right" vertical="center"/>
    </xf>
    <xf numFmtId="0" fontId="4" fillId="3" borderId="4" applyAlignment="1" pivotButton="0" quotePrefix="0" xfId="0">
      <alignment horizontal="left" vertical="center" wrapText="1"/>
    </xf>
    <xf numFmtId="0" fontId="3" fillId="7" borderId="3" applyAlignment="1" pivotButton="0" quotePrefix="0" xfId="0">
      <alignment horizontal="center" vertical="center"/>
    </xf>
    <xf numFmtId="0" fontId="3" fillId="7" borderId="5" pivotButton="0" quotePrefix="0" xfId="0"/>
    <xf numFmtId="3" fontId="3" fillId="7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Impacte Econòmic per Comarca (€)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 per Comarques'!C4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 per Comarques'!$A$5:$A$10</f>
            </numRef>
          </cat>
          <val>
            <numRef>
              <f>'Resum per Comarques'!$C$5:$C$10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Comarca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Euros (€)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79" customWidth="1" min="3" max="3"/>
  </cols>
  <sheetData>
    <row r="1">
      <c r="A1" s="1" t="inlineStr">
        <is>
          <t>RESUM D'IMPACTE DE LES PRODUCCIONS PER COMARCA</t>
        </is>
      </c>
    </row>
    <row r="2">
      <c r="A2" s="2" t="inlineStr">
        <is>
          <t>Dades tancades i repartides per a les sis comarques d'estudi</t>
        </is>
      </c>
    </row>
    <row r="4" ht="25" customHeight="1">
      <c r="A4" s="3" t="inlineStr">
        <is>
          <t>Comarca</t>
        </is>
      </c>
      <c r="B4" s="4" t="inlineStr">
        <is>
          <t>Nombre de Produccions</t>
        </is>
      </c>
      <c r="C4" s="4" t="inlineStr">
        <is>
          <t>Total d'Ingressos (€)</t>
        </is>
      </c>
    </row>
    <row r="5" ht="22" customHeight="1">
      <c r="A5" s="5" t="inlineStr">
        <is>
          <t>Garrigues</t>
        </is>
      </c>
      <c r="B5" s="6">
        <f>COUNTIF('Registre per Mapa'!$A$5:$A$32, A5)</f>
        <v/>
      </c>
      <c r="C5" s="7">
        <f>SUMIF('Registre per Mapa'!$A$5:$A$32, A5, 'Registre per Mapa'!$D$5:$D$32)</f>
        <v/>
      </c>
    </row>
    <row r="6" ht="22" customHeight="1">
      <c r="A6" s="8" t="inlineStr">
        <is>
          <t>Noguera</t>
        </is>
      </c>
      <c r="B6" s="9">
        <f>COUNTIF('Registre per Mapa'!$A$5:$A$32, A6)</f>
        <v/>
      </c>
      <c r="C6" s="10">
        <f>SUMIF('Registre per Mapa'!$A$5:$A$32, A6, 'Registre per Mapa'!$D$5:$D$32)</f>
        <v/>
      </c>
    </row>
    <row r="7" ht="22" customHeight="1">
      <c r="A7" s="5" t="inlineStr">
        <is>
          <t>Pla d'Urgell</t>
        </is>
      </c>
      <c r="B7" s="6">
        <f>COUNTIF('Registre per Mapa'!$A$5:$A$32, A7)</f>
        <v/>
      </c>
      <c r="C7" s="7">
        <f>SUMIF('Registre per Mapa'!$A$5:$A$32, A7, 'Registre per Mapa'!$D$5:$D$32)</f>
        <v/>
      </c>
    </row>
    <row r="8" ht="22" customHeight="1">
      <c r="A8" s="8" t="inlineStr">
        <is>
          <t>Segarra</t>
        </is>
      </c>
      <c r="B8" s="9">
        <f>COUNTIF('Registre per Mapa'!$A$5:$A$32, A8)</f>
        <v/>
      </c>
      <c r="C8" s="10">
        <f>SUMIF('Registre per Mapa'!$A$5:$A$32, A8, 'Registre per Mapa'!$D$5:$D$32)</f>
        <v/>
      </c>
    </row>
    <row r="9" ht="22" customHeight="1">
      <c r="A9" s="5" t="inlineStr">
        <is>
          <t>Segrià</t>
        </is>
      </c>
      <c r="B9" s="6">
        <f>COUNTIF('Registre per Mapa'!$A$5:$A$32, A9)</f>
        <v/>
      </c>
      <c r="C9" s="7">
        <f>SUMIF('Registre per Mapa'!$A$5:$A$32, A9, 'Registre per Mapa'!$D$5:$D$32)</f>
        <v/>
      </c>
    </row>
    <row r="10" ht="22" customHeight="1">
      <c r="A10" s="8" t="inlineStr">
        <is>
          <t>Urgell</t>
        </is>
      </c>
      <c r="B10" s="9">
        <f>COUNTIF('Registre per Mapa'!$A$5:$A$32, A10)</f>
        <v/>
      </c>
      <c r="C10" s="10">
        <f>SUMIF('Registre per Mapa'!$A$5:$A$32, A10, 'Registre per Mapa'!$D$5:$D$32)</f>
        <v/>
      </c>
    </row>
    <row r="11" ht="25" customHeight="1">
      <c r="A11" s="11" t="inlineStr">
        <is>
          <t>TOTAL</t>
        </is>
      </c>
      <c r="B11" s="12">
        <f>SUM(B5:B10)</f>
        <v/>
      </c>
      <c r="C11" s="13">
        <f>SUM(C5:C10)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26" customWidth="1" min="3" max="3"/>
    <col width="23" customWidth="1" min="4" max="4"/>
    <col width="23" customWidth="1" min="5" max="5"/>
    <col width="33" customWidth="1" min="6" max="6"/>
    <col width="30" customWidth="1" min="7" max="7"/>
    <col width="45" customWidth="1" min="8" max="8"/>
  </cols>
  <sheetData>
    <row r="1">
      <c r="A1" s="1" t="inlineStr">
        <is>
          <t>DETALL DE RODATGES I PRODUCCIONS</t>
        </is>
      </c>
    </row>
    <row r="2">
      <c r="A2" s="2" t="inlineStr">
        <is>
          <t>Taula d'importació per a eines de mapes interactius (com Google My Maps o CARTO)</t>
        </is>
      </c>
    </row>
    <row r="4" ht="25" customHeight="1">
      <c r="A4" s="4" t="inlineStr">
        <is>
          <t>Comarca</t>
        </is>
      </c>
      <c r="B4" s="3" t="inlineStr">
        <is>
          <t>Nom del projecte</t>
        </is>
      </c>
      <c r="C4" s="4" t="inlineStr">
        <is>
          <t>Format</t>
        </is>
      </c>
      <c r="D4" s="4" t="inlineStr">
        <is>
          <t>Impacte Econòmic (€)</t>
        </is>
      </c>
      <c r="E4" s="4" t="inlineStr">
        <is>
          <t>Tipus de Projecte</t>
        </is>
      </c>
      <c r="F4" s="3" t="inlineStr">
        <is>
          <t>Productora</t>
        </is>
      </c>
      <c r="G4" s="4" t="inlineStr">
        <is>
          <t>Persona de contacte</t>
        </is>
      </c>
      <c r="H4" s="3" t="inlineStr">
        <is>
          <t>Suport rebut</t>
        </is>
      </c>
    </row>
    <row r="5" ht="20" customHeight="1">
      <c r="A5" s="33" t="inlineStr">
        <is>
          <t>Noguera</t>
        </is>
      </c>
      <c r="B5" s="34" t="inlineStr">
        <is>
          <t>Criminopatía</t>
        </is>
      </c>
      <c r="C5" s="33" t="inlineStr">
        <is>
          <t>serie documental</t>
        </is>
      </c>
      <c r="D5" s="35" t="n">
        <v>2500</v>
      </c>
      <c r="E5" s="33" t="inlineStr">
        <is>
          <t>Compartit (repartit)</t>
        </is>
      </c>
      <c r="F5" s="34" t="inlineStr">
        <is>
          <t>You First Originals x NETFLIX</t>
        </is>
      </c>
      <c r="G5" s="33" t="inlineStr">
        <is>
          <t>Alex Slugina</t>
        </is>
      </c>
      <c r="H5" s="36" t="inlineStr">
        <is>
          <t>- Exteriors Lleida: Seu Vella, carrers, campus universitat, Bar Il Cappucino, exteriors La Bordeta, Plaça Sant Joan de Lleida - Bliblioteca IEI - Bar Legend - Exterior Hotel Hamaica - Urbanització d'Alpicat - Universitat Udl - Riu Segre - Exterior La Saira Carretera  - Parking privat I a cases de privats.</t>
        </is>
      </c>
      <c r="I5" s="37" t="n"/>
    </row>
    <row r="6" ht="20" customHeight="1">
      <c r="A6" s="38" t="inlineStr">
        <is>
          <t>Noguera</t>
        </is>
      </c>
      <c r="B6" s="39" t="inlineStr">
        <is>
          <t>Curt ECCIT Camarasa</t>
        </is>
      </c>
      <c r="C6" s="38" t="inlineStr">
        <is>
          <t>curtmetratge acadèmic</t>
        </is>
      </c>
      <c r="D6" s="40" t="n">
        <v>500</v>
      </c>
      <c r="E6" s="38" t="inlineStr">
        <is>
          <t>Individual</t>
        </is>
      </c>
      <c r="F6" s="39" t="inlineStr">
        <is>
          <t>ECCIT</t>
        </is>
      </c>
      <c r="G6" s="38" t="inlineStr">
        <is>
          <t>Daniel Suarez</t>
        </is>
      </c>
      <c r="H6" s="41" t="inlineStr">
        <is>
          <t>Contacte amb el CC Noguera per rodar un dia a Camarasa. ECCIT fa la instància.</t>
        </is>
      </c>
      <c r="I6" s="37" t="n"/>
    </row>
    <row r="7" ht="20" customHeight="1">
      <c r="A7" s="42" t="inlineStr">
        <is>
          <t>Noguera</t>
        </is>
      </c>
      <c r="B7" s="43" t="inlineStr">
        <is>
          <t>El otro lado</t>
        </is>
      </c>
      <c r="C7" s="42" t="inlineStr">
        <is>
          <t>serie per Plataformes</t>
        </is>
      </c>
      <c r="D7" s="44" t="n">
        <v>3000</v>
      </c>
      <c r="E7" s="42" t="inlineStr">
        <is>
          <t>Individual</t>
        </is>
      </c>
      <c r="F7" s="43" t="inlineStr">
        <is>
          <t>Mediapro</t>
        </is>
      </c>
      <c r="G7" s="42" t="inlineStr">
        <is>
          <t>Jaume Jordada / Jordi Renom</t>
        </is>
      </c>
      <c r="H7" s="45" t="inlineStr">
        <is>
          <t>recerca locas</t>
        </is>
      </c>
      <c r="I7" s="37" t="n"/>
    </row>
    <row r="8" ht="20" customHeight="1">
      <c r="A8" s="38" t="inlineStr">
        <is>
          <t>Noguera</t>
        </is>
      </c>
      <c r="B8" s="39" t="inlineStr">
        <is>
          <t>Nena Beata</t>
        </is>
      </c>
      <c r="C8" s="38" t="inlineStr">
        <is>
          <t>Curtmetratge</t>
        </is>
      </c>
      <c r="D8" s="40" t="n">
        <v>12000</v>
      </c>
      <c r="E8" s="38" t="inlineStr">
        <is>
          <t>Individual</t>
        </is>
      </c>
      <c r="F8" s="39" t="inlineStr">
        <is>
          <t>Films de l'Orient, Ralda World</t>
        </is>
      </c>
      <c r="G8" s="38" t="inlineStr">
        <is>
          <t>Marina Rúbies</t>
        </is>
      </c>
      <c r="H8" s="41" t="inlineStr">
        <is>
          <t>Suport general</t>
        </is>
      </c>
      <c r="I8" s="37" t="n"/>
    </row>
    <row r="9" ht="20" customHeight="1">
      <c r="A9" s="42" t="inlineStr">
        <is>
          <t>Noguera</t>
        </is>
      </c>
      <c r="B9" s="43" t="inlineStr">
        <is>
          <t>Reportatge fotogràfic</t>
        </is>
      </c>
      <c r="C9" s="42" t="inlineStr">
        <is>
          <t>reportatge fotogràfic</t>
        </is>
      </c>
      <c r="D9" s="44" t="n">
        <v>100</v>
      </c>
      <c r="E9" s="42" t="inlineStr">
        <is>
          <t>Individual</t>
        </is>
      </c>
      <c r="F9" s="43" t="inlineStr">
        <is>
          <t>Hello Agosto</t>
        </is>
      </c>
      <c r="G9" s="42" t="inlineStr">
        <is>
          <t>Xènia Montero</t>
        </is>
      </c>
      <c r="H9" s="45" t="inlineStr">
        <is>
          <t>Suport general</t>
        </is>
      </c>
      <c r="I9" s="37" t="n"/>
    </row>
    <row r="10" ht="20" customHeight="1">
      <c r="A10" s="33" t="inlineStr">
        <is>
          <t>Noguera</t>
        </is>
      </c>
      <c r="B10" s="34" t="inlineStr">
        <is>
          <t>Spot ministeri Cultura</t>
        </is>
      </c>
      <c r="C10" s="33" t="inlineStr">
        <is>
          <t>spot publicitari</t>
        </is>
      </c>
      <c r="D10" s="35" t="n">
        <v>13333.33</v>
      </c>
      <c r="E10" s="33" t="inlineStr">
        <is>
          <t>Compartit (repartit)</t>
        </is>
      </c>
      <c r="F10" s="34" t="inlineStr">
        <is>
          <t>Ministeri de Cultura</t>
        </is>
      </c>
      <c r="G10" s="33" t="inlineStr">
        <is>
          <t>N/A</t>
        </is>
      </c>
      <c r="H10" s="36" t="inlineStr">
        <is>
          <t>Suport repartit</t>
        </is>
      </c>
      <c r="I10" s="37" t="n"/>
    </row>
    <row r="11" ht="20" customHeight="1">
      <c r="A11" s="42" t="inlineStr">
        <is>
          <t>Pla d'Urgell</t>
        </is>
      </c>
      <c r="B11" s="43" t="inlineStr">
        <is>
          <t>El coto ESCAC</t>
        </is>
      </c>
      <c r="C11" s="42" t="inlineStr">
        <is>
          <t>Curtmetratge</t>
        </is>
      </c>
      <c r="D11" s="44" t="n">
        <v>500</v>
      </c>
      <c r="E11" s="42" t="inlineStr">
        <is>
          <t>Individual</t>
        </is>
      </c>
      <c r="F11" s="43" t="inlineStr">
        <is>
          <t>N/A</t>
        </is>
      </c>
      <c r="G11" s="42" t="inlineStr">
        <is>
          <t>Núria Bonaviña</t>
        </is>
      </c>
      <c r="H11" s="45" t="inlineStr">
        <is>
          <t>Petició de localitzacions a Belianes i altres als voltants. Contacte amb els ajuntaments per permisos.</t>
        </is>
      </c>
      <c r="I11" s="37" t="n"/>
    </row>
    <row r="12" ht="20" customHeight="1">
      <c r="A12" s="38" t="inlineStr">
        <is>
          <t>Pla d'Urgell</t>
        </is>
      </c>
      <c r="B12" s="39" t="inlineStr">
        <is>
          <t>EL FUTUR ES AQUI - Espot per la Generalitat</t>
        </is>
      </c>
      <c r="C12" s="38" t="inlineStr">
        <is>
          <t>spot publicitari</t>
        </is>
      </c>
      <c r="D12" s="40" t="n">
        <v>6000</v>
      </c>
      <c r="E12" s="38" t="inlineStr">
        <is>
          <t>Individual</t>
        </is>
      </c>
      <c r="F12" s="39" t="inlineStr">
        <is>
          <t>CPWORKS BARCELONA SL.</t>
        </is>
      </c>
      <c r="G12" s="38" t="inlineStr">
        <is>
          <t>Julián Picco</t>
        </is>
      </c>
      <c r="H12" s="41" t="inlineStr">
        <is>
          <t>localitzacions</t>
        </is>
      </c>
      <c r="I12" s="37" t="n"/>
    </row>
    <row r="13" ht="20" customHeight="1">
      <c r="A13" s="42" t="inlineStr">
        <is>
          <t>Pla d'Urgell</t>
        </is>
      </c>
      <c r="B13" s="43" t="inlineStr">
        <is>
          <t>L'EQUILIBRI</t>
        </is>
      </c>
      <c r="C13" s="42" t="inlineStr">
        <is>
          <t>CURTMetratge</t>
        </is>
      </c>
      <c r="D13" s="44" t="n">
        <v>2500</v>
      </c>
      <c r="E13" s="42" t="inlineStr">
        <is>
          <t>Individual</t>
        </is>
      </c>
      <c r="F13" s="43" t="inlineStr">
        <is>
          <t>Octubre Cinema</t>
        </is>
      </c>
      <c r="G13" s="42" t="inlineStr">
        <is>
          <t>Joel Munu</t>
        </is>
      </c>
      <c r="H13" s="45" t="inlineStr">
        <is>
          <t>Suport general</t>
        </is>
      </c>
      <c r="I13" s="37" t="n"/>
    </row>
    <row r="14" ht="20" customHeight="1">
      <c r="A14" s="33" t="inlineStr">
        <is>
          <t>Pla d'Urgell</t>
        </is>
      </c>
      <c r="B14" s="34" t="inlineStr">
        <is>
          <t>Spot ministeri Cultura</t>
        </is>
      </c>
      <c r="C14" s="33" t="inlineStr">
        <is>
          <t>spot publicitari</t>
        </is>
      </c>
      <c r="D14" s="35" t="n">
        <v>13333.33</v>
      </c>
      <c r="E14" s="33" t="inlineStr">
        <is>
          <t>Compartit (repartit)</t>
        </is>
      </c>
      <c r="F14" s="34" t="inlineStr">
        <is>
          <t>Ministeri de Cultura</t>
        </is>
      </c>
      <c r="G14" s="33" t="inlineStr">
        <is>
          <t>N/A</t>
        </is>
      </c>
      <c r="H14" s="36" t="inlineStr">
        <is>
          <t>Suport repartit</t>
        </is>
      </c>
      <c r="I14" s="37" t="n"/>
    </row>
    <row r="15" ht="20" customHeight="1">
      <c r="A15" s="42" t="inlineStr">
        <is>
          <t>Pla d'Urgell</t>
        </is>
      </c>
      <c r="B15" s="43" t="inlineStr">
        <is>
          <t>THE FREELANCER</t>
        </is>
      </c>
      <c r="C15" s="42" t="inlineStr">
        <is>
          <t>curtmetratge</t>
        </is>
      </c>
      <c r="D15" s="44" t="n">
        <v>600</v>
      </c>
      <c r="E15" s="42" t="inlineStr">
        <is>
          <t>Individual</t>
        </is>
      </c>
      <c r="F15" s="43" t="inlineStr">
        <is>
          <t>escac</t>
        </is>
      </c>
      <c r="G15" s="42" t="inlineStr">
        <is>
          <t>Jaynit Parmar</t>
        </is>
      </c>
      <c r="H15" s="45" t="inlineStr">
        <is>
          <t>recerca espais CIM Vilasana; recerca espais CIM Vilasana; presencia al rodatge al  CIM Vilasana</t>
        </is>
      </c>
      <c r="I15" s="37" t="n"/>
    </row>
    <row r="16" ht="20" customHeight="1">
      <c r="A16" s="38" t="inlineStr">
        <is>
          <t>Pla d'Urgell</t>
        </is>
      </c>
      <c r="B16" s="39" t="inlineStr">
        <is>
          <t>Traumatic</t>
        </is>
      </c>
      <c r="C16" s="38" t="inlineStr">
        <is>
          <t>Curtmetratge</t>
        </is>
      </c>
      <c r="D16" s="40" t="n">
        <v>8000</v>
      </c>
      <c r="E16" s="38" t="inlineStr">
        <is>
          <t>Individual</t>
        </is>
      </c>
      <c r="F16" s="39" t="inlineStr">
        <is>
          <t>GreenHill</t>
        </is>
      </c>
      <c r="G16" s="38" t="inlineStr">
        <is>
          <t>Daniel Llusà</t>
        </is>
      </c>
      <c r="H16" s="41" t="inlineStr">
        <is>
          <t>Cerca de localitzacions i propostes.; Visita al rodatge.; Trucada per veure com va, ens passarà una versió de muntatge sense VFX</t>
        </is>
      </c>
      <c r="I16" s="37" t="n"/>
    </row>
    <row r="17" ht="20" customHeight="1">
      <c r="A17" s="33" t="inlineStr">
        <is>
          <t>Pla d'Urgell</t>
        </is>
      </c>
      <c r="B17" s="34" t="inlineStr">
        <is>
          <t>Túnel de Montclar</t>
        </is>
      </c>
      <c r="C17" s="33" t="inlineStr">
        <is>
          <t>Curtmetratge</t>
        </is>
      </c>
      <c r="D17" s="35" t="n">
        <v>12000</v>
      </c>
      <c r="E17" s="33" t="inlineStr">
        <is>
          <t>Compartit (repartit)</t>
        </is>
      </c>
      <c r="F17" s="34" t="inlineStr">
        <is>
          <t>Principal Segona , Kionalia</t>
        </is>
      </c>
      <c r="G17" s="33" t="inlineStr">
        <is>
          <t>Daniel Sarramona</t>
        </is>
      </c>
      <c r="H17" s="36" t="inlineStr">
        <is>
          <t>Suport general</t>
        </is>
      </c>
      <c r="I17" s="37" t="n"/>
    </row>
    <row r="18" ht="20" customHeight="1">
      <c r="A18" s="33" t="inlineStr">
        <is>
          <t>Segarra</t>
        </is>
      </c>
      <c r="B18" s="34" t="inlineStr">
        <is>
          <t>Arquitectura en desús</t>
        </is>
      </c>
      <c r="C18" s="33" t="inlineStr">
        <is>
          <t>Serie videos Youtube</t>
        </is>
      </c>
      <c r="D18" s="35" t="n">
        <v>500</v>
      </c>
      <c r="E18" s="33" t="inlineStr">
        <is>
          <t>Compartit (repartit)</t>
        </is>
      </c>
      <c r="F18" s="34" t="inlineStr">
        <is>
          <t>N/A</t>
        </is>
      </c>
      <c r="G18" s="33" t="inlineStr">
        <is>
          <t>David Alesina i Pau M Just</t>
        </is>
      </c>
      <c r="H18" s="36" t="inlineStr">
        <is>
          <t>Diferents rondes de proposta de localitzacions. Creació de dossier de localitzacions. Petició de permis de rodatge en les diferents localitzacions acceptades. Pendents de la instància a Cervera.</t>
        </is>
      </c>
      <c r="I18" s="37" t="n"/>
    </row>
    <row r="19" ht="20" customHeight="1">
      <c r="A19" s="33" t="inlineStr">
        <is>
          <t>Segarra</t>
        </is>
      </c>
      <c r="B19" s="34" t="inlineStr">
        <is>
          <t>BFB Castle</t>
        </is>
      </c>
      <c r="C19" s="33" t="inlineStr">
        <is>
          <t>Producció Netflix</t>
        </is>
      </c>
      <c r="D19" s="35" t="n">
        <v>5000</v>
      </c>
      <c r="E19" s="33" t="inlineStr">
        <is>
          <t>Compartit (repartit)</t>
        </is>
      </c>
      <c r="F19" s="34" t="inlineStr">
        <is>
          <t>Cris Tapia</t>
        </is>
      </c>
      <c r="G19" s="33" t="inlineStr">
        <is>
          <t>Adrià Nebot</t>
        </is>
      </c>
      <c r="H19" s="36" t="inlineStr">
        <is>
          <t>Suport general</t>
        </is>
      </c>
      <c r="I19" s="37" t="n"/>
    </row>
    <row r="20" ht="20" customHeight="1">
      <c r="A20" s="38" t="inlineStr">
        <is>
          <t>Segarra</t>
        </is>
      </c>
      <c r="B20" s="39" t="inlineStr">
        <is>
          <t>PIM, PAM, PUM</t>
        </is>
      </c>
      <c r="C20" s="38" t="inlineStr">
        <is>
          <t>curtmetratge acadèmic</t>
        </is>
      </c>
      <c r="D20" s="40" t="n">
        <v>500</v>
      </c>
      <c r="E20" s="38" t="inlineStr">
        <is>
          <t>Individual</t>
        </is>
      </c>
      <c r="F20" s="39" t="inlineStr">
        <is>
          <t>Escac</t>
        </is>
      </c>
      <c r="G20" s="38" t="inlineStr">
        <is>
          <t>Marc Gili</t>
        </is>
      </c>
      <c r="H20" s="41" t="inlineStr">
        <is>
          <t>lcalització Monestir de Cellers i gestió permisos</t>
        </is>
      </c>
      <c r="I20" s="37" t="n"/>
    </row>
    <row r="21" ht="20" customHeight="1">
      <c r="A21" s="33" t="inlineStr">
        <is>
          <t>Segarra</t>
        </is>
      </c>
      <c r="B21" s="34" t="inlineStr">
        <is>
          <t>SHADES OF PARADISE</t>
        </is>
      </c>
      <c r="C21" s="33" t="inlineStr">
        <is>
          <t>Llargmetratge ficció</t>
        </is>
      </c>
      <c r="D21" s="35" t="n">
        <v>5000</v>
      </c>
      <c r="E21" s="33" t="inlineStr">
        <is>
          <t>Compartit (repartit)</t>
        </is>
      </c>
      <c r="F21" s="34" t="inlineStr">
        <is>
          <t>CANADA</t>
        </is>
      </c>
      <c r="G21" s="33" t="inlineStr">
        <is>
          <t>Martí Marcos</t>
        </is>
      </c>
      <c r="H21" s="36" t="inlineStr">
        <is>
          <t>Suport general</t>
        </is>
      </c>
      <c r="I21" s="37" t="n"/>
    </row>
    <row r="22" ht="20" customHeight="1">
      <c r="A22" s="38" t="inlineStr">
        <is>
          <t>Segrià</t>
        </is>
      </c>
      <c r="B22" s="39" t="inlineStr">
        <is>
          <t>Avall que fa pujada</t>
        </is>
      </c>
      <c r="C22" s="38" t="inlineStr">
        <is>
          <t>Curtmetratge</t>
        </is>
      </c>
      <c r="D22" s="40" t="n">
        <v>5000</v>
      </c>
      <c r="E22" s="38" t="inlineStr">
        <is>
          <t>Individual</t>
        </is>
      </c>
      <c r="F22" s="39" t="inlineStr">
        <is>
          <t>N/A</t>
        </is>
      </c>
      <c r="G22" s="38" t="inlineStr">
        <is>
          <t>Mar Maduell</t>
        </is>
      </c>
      <c r="H22" s="41" t="inlineStr">
        <is>
          <t>Cerca de descomptes de waiver a festivals nacionals i internacionals</t>
        </is>
      </c>
      <c r="I22" s="37" t="n"/>
    </row>
    <row r="23" ht="20" customHeight="1">
      <c r="A23" s="33" t="inlineStr">
        <is>
          <t>Segrià</t>
        </is>
      </c>
      <c r="B23" s="34" t="inlineStr">
        <is>
          <t>Criminopatía</t>
        </is>
      </c>
      <c r="C23" s="33" t="inlineStr">
        <is>
          <t>serie documental</t>
        </is>
      </c>
      <c r="D23" s="35" t="n">
        <v>2500</v>
      </c>
      <c r="E23" s="33" t="inlineStr">
        <is>
          <t>Compartit (repartit)</t>
        </is>
      </c>
      <c r="F23" s="34" t="inlineStr">
        <is>
          <t>You First Originals x NETFLIX</t>
        </is>
      </c>
      <c r="G23" s="33" t="inlineStr">
        <is>
          <t>Alex Slugina</t>
        </is>
      </c>
      <c r="H23" s="36" t="inlineStr">
        <is>
          <t>- Exteriors Lleida: Seu Vella, carrers, campus universitat, Bar Il Cappucino, exteriors La Bordeta, Plaça Sant Joan de Lleida - Bliblioteca IEI - Bar Legend - Exterior Hotel Hamaica - Urbanització d'Alpicat - Universitat Udl - Riu Segre - Exterior La Saira Carretera  - Parking privat I a cases de privats.</t>
        </is>
      </c>
      <c r="I23" s="37" t="n"/>
    </row>
    <row r="24" ht="20" customHeight="1">
      <c r="A24" s="38" t="inlineStr">
        <is>
          <t>Segrià</t>
        </is>
      </c>
      <c r="B24" s="39" t="inlineStr">
        <is>
          <t>LA MALA FRUITA</t>
        </is>
      </c>
      <c r="C24" s="38" t="inlineStr">
        <is>
          <t>Curtmetratge DOCUMENTAL</t>
        </is>
      </c>
      <c r="D24" s="40" t="n">
        <v>500</v>
      </c>
      <c r="E24" s="38" t="inlineStr">
        <is>
          <t>Individual</t>
        </is>
      </c>
      <c r="F24" s="39" t="inlineStr">
        <is>
          <t>N/A</t>
        </is>
      </c>
      <c r="G24" s="38" t="inlineStr">
        <is>
          <t>Mireia PC</t>
        </is>
      </c>
      <c r="H24" s="41" t="inlineStr">
        <is>
          <t>Fiquem en contacte Mireia amb l'Alba Pifarré que està oberta a participar. Roden el projecte i estan en fase d'edició. Ha d'entregar al maig.</t>
        </is>
      </c>
      <c r="I24" s="37" t="n"/>
    </row>
    <row r="25" ht="20" customHeight="1">
      <c r="A25" s="33" t="inlineStr">
        <is>
          <t>Segrià</t>
        </is>
      </c>
      <c r="B25" s="34" t="inlineStr">
        <is>
          <t>Túnel de Montclar</t>
        </is>
      </c>
      <c r="C25" s="33" t="inlineStr">
        <is>
          <t>Curtmetratge</t>
        </is>
      </c>
      <c r="D25" s="35" t="n">
        <v>3000</v>
      </c>
      <c r="E25" s="33" t="inlineStr">
        <is>
          <t>Compartit (repartit)</t>
        </is>
      </c>
      <c r="F25" s="34" t="inlineStr">
        <is>
          <t>Principal Segona , Kionalia</t>
        </is>
      </c>
      <c r="G25" s="33" t="inlineStr">
        <is>
          <t>Daniel Sarramona</t>
        </is>
      </c>
      <c r="H25" s="36" t="inlineStr">
        <is>
          <t>Suport general</t>
        </is>
      </c>
      <c r="I25" s="37" t="n"/>
    </row>
    <row r="26" ht="20" customHeight="1">
      <c r="A26" s="33" t="inlineStr">
        <is>
          <t>Urgell</t>
        </is>
      </c>
      <c r="B26" s="34" t="inlineStr">
        <is>
          <t>Arquitectura en desús</t>
        </is>
      </c>
      <c r="C26" s="33" t="inlineStr">
        <is>
          <t>Serie videos Youtube</t>
        </is>
      </c>
      <c r="D26" s="35" t="n">
        <v>500</v>
      </c>
      <c r="E26" s="33" t="inlineStr">
        <is>
          <t>Compartit (repartit)</t>
        </is>
      </c>
      <c r="F26" s="34" t="inlineStr">
        <is>
          <t>N/A</t>
        </is>
      </c>
      <c r="G26" s="33" t="inlineStr">
        <is>
          <t>David Alesina i Pau M Just</t>
        </is>
      </c>
      <c r="H26" s="36" t="inlineStr">
        <is>
          <t>Diferents rondes de proposta de localitzacions. Creació de dossier de localitzacions. Petició de permis de rodatge en les diferents localitzacions acceptades. Pendents de la instància a Cervera.</t>
        </is>
      </c>
      <c r="I26" s="37" t="n"/>
    </row>
    <row r="27" ht="20" customHeight="1">
      <c r="A27" s="33" t="inlineStr">
        <is>
          <t>Urgell</t>
        </is>
      </c>
      <c r="B27" s="34" t="inlineStr">
        <is>
          <t>BFB Castle</t>
        </is>
      </c>
      <c r="C27" s="33" t="inlineStr">
        <is>
          <t>Producció Netflix</t>
        </is>
      </c>
      <c r="D27" s="35" t="n">
        <v>45000</v>
      </c>
      <c r="E27" s="33" t="inlineStr">
        <is>
          <t>Compartit (repartit)</t>
        </is>
      </c>
      <c r="F27" s="34" t="inlineStr">
        <is>
          <t>Cris Tapia</t>
        </is>
      </c>
      <c r="G27" s="33" t="inlineStr">
        <is>
          <t>Adrià Nebot</t>
        </is>
      </c>
      <c r="H27" s="36" t="inlineStr">
        <is>
          <t>Suport general</t>
        </is>
      </c>
      <c r="I27" s="37" t="n"/>
    </row>
    <row r="28" ht="20" customHeight="1">
      <c r="A28" s="38" t="inlineStr">
        <is>
          <t>Urgell</t>
        </is>
      </c>
      <c r="B28" s="39" t="inlineStr">
        <is>
          <t>LEON</t>
        </is>
      </c>
      <c r="C28" s="38" t="inlineStr">
        <is>
          <t>curtmetratge acadèmic</t>
        </is>
      </c>
      <c r="D28" s="40" t="n">
        <v>500</v>
      </c>
      <c r="E28" s="38" t="inlineStr">
        <is>
          <t>Individual</t>
        </is>
      </c>
      <c r="F28" s="39" t="inlineStr">
        <is>
          <t>escac</t>
        </is>
      </c>
      <c r="G28" s="38" t="inlineStr">
        <is>
          <t>Genis Rescalvo</t>
        </is>
      </c>
      <c r="H28" s="41" t="inlineStr">
        <is>
          <t>localització sla ajuntes ajuntament Tarrega</t>
        </is>
      </c>
      <c r="I28" s="37" t="n"/>
    </row>
    <row r="29" ht="24" customHeight="1">
      <c r="A29" s="42" t="inlineStr">
        <is>
          <t>Urgell</t>
        </is>
      </c>
      <c r="B29" s="43" t="inlineStr">
        <is>
          <t>Secuestro</t>
        </is>
      </c>
      <c r="C29" s="42" t="inlineStr">
        <is>
          <t>serie per Plataformes</t>
        </is>
      </c>
      <c r="D29" s="44" t="n">
        <v>8000</v>
      </c>
      <c r="E29" s="42" t="inlineStr">
        <is>
          <t>Individual</t>
        </is>
      </c>
      <c r="F29" s="43" t="inlineStr">
        <is>
          <t>N/A</t>
        </is>
      </c>
      <c r="G29" s="42" t="inlineStr">
        <is>
          <t>Jaume Jordada</t>
        </is>
      </c>
      <c r="H29" s="45" t="inlineStr">
        <is>
          <t>Suport general</t>
        </is>
      </c>
      <c r="I29" s="37" t="n"/>
    </row>
    <row r="30">
      <c r="A30" s="33" t="inlineStr">
        <is>
          <t>Urgell</t>
        </is>
      </c>
      <c r="B30" s="34" t="inlineStr">
        <is>
          <t>SHADES OF PARADISE</t>
        </is>
      </c>
      <c r="C30" s="33" t="inlineStr">
        <is>
          <t>Llargmetratge ficció</t>
        </is>
      </c>
      <c r="D30" s="35" t="n">
        <v>45000</v>
      </c>
      <c r="E30" s="33" t="inlineStr">
        <is>
          <t>Compartit (repartit)</t>
        </is>
      </c>
      <c r="F30" s="34" t="inlineStr">
        <is>
          <t>CANADA</t>
        </is>
      </c>
      <c r="G30" s="33" t="inlineStr">
        <is>
          <t>Martí Marcos</t>
        </is>
      </c>
      <c r="H30" s="36" t="inlineStr">
        <is>
          <t>Suport general</t>
        </is>
      </c>
      <c r="I30" s="37" t="n"/>
    </row>
    <row r="31">
      <c r="A31" s="33" t="inlineStr">
        <is>
          <t>Urgell</t>
        </is>
      </c>
      <c r="B31" s="34" t="inlineStr">
        <is>
          <t>Spot ministeri Cultura</t>
        </is>
      </c>
      <c r="C31" s="33" t="inlineStr">
        <is>
          <t>spot publicitari</t>
        </is>
      </c>
      <c r="D31" s="35" t="n">
        <v>13333.34</v>
      </c>
      <c r="E31" s="33" t="inlineStr">
        <is>
          <t>Compartit (repartit)</t>
        </is>
      </c>
      <c r="F31" s="34" t="inlineStr">
        <is>
          <t>Ministeri de Cultura</t>
        </is>
      </c>
      <c r="G31" s="33" t="inlineStr">
        <is>
          <t>N/A</t>
        </is>
      </c>
      <c r="H31" s="36" t="inlineStr">
        <is>
          <t>Suport repartit</t>
        </is>
      </c>
      <c r="I31" s="37" t="n"/>
    </row>
    <row r="32">
      <c r="A32" s="38" t="inlineStr">
        <is>
          <t>Urgell</t>
        </is>
      </c>
      <c r="B32" s="39" t="inlineStr">
        <is>
          <t>Videoclip Antiga Academia</t>
        </is>
      </c>
      <c r="C32" s="38" t="inlineStr">
        <is>
          <t>videoclip</t>
        </is>
      </c>
      <c r="D32" s="40" t="n">
        <v>1500</v>
      </c>
      <c r="E32" s="38" t="inlineStr">
        <is>
          <t>Individual</t>
        </is>
      </c>
      <c r="F32" s="39" t="inlineStr">
        <is>
          <t>The Rats Commpany</t>
        </is>
      </c>
      <c r="G32" s="38" t="inlineStr">
        <is>
          <t>Angela i Sandra</t>
        </is>
      </c>
      <c r="H32" s="41" t="inlineStr">
        <is>
          <t>Aconseguir rodar a l'antiga academia d'Agramunt</t>
        </is>
      </c>
      <c r="I32" s="37" t="n"/>
    </row>
    <row r="33">
      <c r="A33" s="46" t="inlineStr">
        <is>
          <t>TOTALS</t>
        </is>
      </c>
      <c r="B33" s="47" t="n"/>
      <c r="C33" s="47" t="n"/>
      <c r="D33" s="48">
        <f>SUM(D5:D32)</f>
        <v/>
      </c>
      <c r="E33" s="47" t="n"/>
      <c r="F33" s="47" t="n"/>
      <c r="G33" s="47" t="n"/>
      <c r="H33" s="47" t="n"/>
      <c r="I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2026-08-20T12:30:42Z</dcterms:created>
  <dcterms:modified xmlns:dcterms="http://purl.org/dc/terms/" xmlns:xsi="http://www.w3.org/2001/XMLSchema-instance" xsi:type="dcterms:W3CDTF">2026-08-21T09:50:30Z</dcterms:modified>
</cp:coreProperties>
</file>